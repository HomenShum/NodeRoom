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<sst xmlns="http://schemas.openxmlformats.org/spreadsheetml/2006/main" count="589" uniqueCount="415">
  <si>
    <t>Anadarko Petroleum Corp. (APC) - Cover</t>
  </si>
  <si>
    <t>Formatting</t>
  </si>
  <si>
    <t>Colors</t>
  </si>
  <si>
    <t>Formulas</t>
  </si>
  <si>
    <t>Hard Codes</t>
  </si>
  <si>
    <t>Link to Different Cell in Same Sheet</t>
  </si>
  <si>
    <t>Link to Different Cell in Different Sheet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</si>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</sst>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N21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4" t="s">
        <v>1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3" t="s">
        <v>2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3" t="s">
        <v>3</v>
      </c>
      <c r="C6" s="5" t="str">
        <f>0, 0, 0, 1</f>
        <v>0, 0, 0, 1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3" t="s">
        <v>4</v>
      </c>
      <c r="C7" s="6" t="str">
        <f>0, 0, 255, 1</f>
        <v>0, 0, 255, 1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3" t="s">
        <v>5</v>
      </c>
      <c r="C8" s="7" t="str">
        <f>112, 48, 160, 1</f>
        <v>112, 48, 160, 1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3" t="s">
        <v>6</v>
      </c>
      <c r="C9" s="8" t="str">
        <f>0, 176, 80, 1</f>
        <v>0, 176, 80, 1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3"/>
      <c r="C10" s="3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4" t="s">
        <v>7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" x14ac:dyDescent="0.25">
      <c r="A12" s="1"/>
      <c r="B12" s="3" t="s">
        <v>8</v>
      </c>
      <c r="C12" s="3"/>
    </row>
    <row r="13" spans="1:3" x14ac:dyDescent="0.25">
      <c r="A13" s="1"/>
      <c r="B13" s="3" t="s">
        <v>9</v>
      </c>
      <c r="C13" s="3"/>
    </row>
    <row r="14" spans="1:3" x14ac:dyDescent="0.25">
      <c r="A14" s="1"/>
      <c r="B14" s="3" t="s">
        <v>10</v>
      </c>
      <c r="C14" s="3"/>
    </row>
    <row r="15" spans="1:3" x14ac:dyDescent="0.25">
      <c r="A15" s="1"/>
      <c r="B15" s="3" t="s">
        <v>11</v>
      </c>
      <c r="C15" s="3"/>
    </row>
    <row r="16" spans="1:3" x14ac:dyDescent="0.25">
      <c r="A16" s="1"/>
      <c r="B16" s="3" t="s">
        <v>12</v>
      </c>
      <c r="C16" s="3"/>
    </row>
    <row r="18" spans="1:3" x14ac:dyDescent="0.25">
      <c r="A18" s="1"/>
      <c r="B18" s="1"/>
      <c r="C18" s="1"/>
    </row>
    <row r="21" spans="1:3" x14ac:dyDescent="0.25">
      <c r="A21" s="1"/>
      <c r="B21" s="1"/>
      <c r="C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18" x14ac:dyDescent="0.25">
      <c r="A1" s="1"/>
      <c r="B1" s="1"/>
      <c r="C1" s="1"/>
      <c r="D1" s="1"/>
      <c r="E1" s="1"/>
      <c r="F1" s="1" t="s">
        <v>13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</row>
    <row r="2" spans="1:18" x14ac:dyDescent="0.25">
      <c r="A2" s="1"/>
      <c r="B2" s="2" t="s">
        <v>14</v>
      </c>
      <c r="C2" s="1"/>
      <c r="D2" s="1"/>
      <c r="E2" s="1"/>
      <c r="F2" s="1" t="s">
        <v>15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</row>
    <row r="3" spans="1:2" x14ac:dyDescent="0.25">
      <c r="A3" s="1"/>
      <c r="B3" s="1" t="s">
        <v>16</v>
      </c>
    </row>
    <row r="5" spans="1:26" x14ac:dyDescent="0.25">
      <c r="A5" s="1"/>
      <c r="B5" s="10" t="s">
        <v>17</v>
      </c>
      <c r="C5" s="11"/>
      <c r="D5" s="1"/>
      <c r="E5" s="10" t="s">
        <v>18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19</v>
      </c>
      <c r="U5" s="11"/>
      <c r="V5" s="11"/>
      <c r="W5" s="11"/>
      <c r="X5" s="11"/>
      <c r="Y5" s="11"/>
      <c r="Z5" s="11"/>
    </row>
    <row r="7" spans="1:21" x14ac:dyDescent="0.25">
      <c r="A7" s="1"/>
      <c r="B7" s="4" t="s">
        <v>20</v>
      </c>
      <c r="C7" s="4"/>
      <c r="D7" s="1"/>
      <c r="E7" s="4" t="s">
        <v>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22</v>
      </c>
      <c r="U7" s="13">
        <v>0.005</v>
      </c>
    </row>
    <row r="8" ht="16" customHeight="1" spans="1:26" x14ac:dyDescent="0.25">
      <c r="A8" s="1"/>
      <c r="B8" s="14" t="s">
        <v>23</v>
      </c>
      <c r="C8" s="15">
        <f>WACC!C17</f>
      </c>
      <c r="D8" s="14"/>
      <c r="E8" s="16" t="s">
        <v>24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25</v>
      </c>
      <c r="W8" s="19"/>
      <c r="X8" s="19"/>
      <c r="Y8" s="19"/>
      <c r="Z8" s="19"/>
    </row>
    <row r="9" spans="1:26" x14ac:dyDescent="0.25">
      <c r="A9" s="1"/>
      <c r="B9" s="1" t="s">
        <v>25</v>
      </c>
      <c r="C9" s="20">
        <f>WACC!C22</f>
      </c>
      <c r="D9" s="1"/>
      <c r="E9" s="2" t="s">
        <v>26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27</v>
      </c>
      <c r="C10" s="20">
        <f>+'Exhibit 5'!C10</f>
      </c>
      <c r="D10" s="1"/>
      <c r="E10" s="25" t="s">
        <v>28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29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30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31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32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33</v>
      </c>
      <c r="F15" s="1"/>
      <c r="G15" s="27">
        <f>G14/G9*-1</f>
      </c>
      <c r="H15" s="27">
        <f>H14/H9*-1</f>
      </c>
      <c r="I15" s="27">
        <f>AVERAGE($F$15:$H$15)</f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34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35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36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37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5:18" x14ac:dyDescent="0.25"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38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39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40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41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42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43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44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45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46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47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48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49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50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51</v>
      </c>
    </row>
    <row r="3" spans="2:2" x14ac:dyDescent="0.25">
      <c r="B3" s="2"/>
    </row>
    <row r="4" spans="1:13" x14ac:dyDescent="0.25">
      <c r="A4" s="1"/>
      <c r="B4" s="10" t="s">
        <v>52</v>
      </c>
      <c r="C4" s="11"/>
      <c r="D4" s="10"/>
      <c r="E4" s="53"/>
      <c r="F4" s="10" t="s">
        <v>53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54</v>
      </c>
      <c r="D6" s="57" t="s">
        <v>55</v>
      </c>
      <c r="E6" s="58"/>
      <c r="F6" s="53"/>
      <c r="G6" s="57" t="s">
        <v>54</v>
      </c>
      <c r="H6" s="57" t="s">
        <v>56</v>
      </c>
      <c r="I6" s="57" t="s">
        <v>57</v>
      </c>
      <c r="J6" s="57" t="s">
        <v>58</v>
      </c>
      <c r="K6" s="57" t="s">
        <v>59</v>
      </c>
      <c r="L6" s="57" t="s">
        <v>60</v>
      </c>
      <c r="M6" s="57" t="s">
        <v>61</v>
      </c>
    </row>
    <row r="7" spans="1:13" x14ac:dyDescent="0.25">
      <c r="A7" s="1"/>
      <c r="B7" s="53" t="s">
        <v>62</v>
      </c>
      <c r="C7" s="59">
        <f>INDEX('Exhibit 6'!D:D,MATCH("MV Leverage (%)",'Exhibit 6'!B:B,0))</f>
      </c>
      <c r="D7" s="60">
        <f>AVERAGE('Exhibit 6'!D36:J36)</f>
      </c>
      <c r="E7" s="53"/>
      <c r="F7" s="53" t="s">
        <v>63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64</v>
      </c>
      <c r="C8" s="60">
        <f>C7/(1-C7)</f>
      </c>
      <c r="D8" s="60">
        <f>D7/(1-D7)</f>
      </c>
      <c r="E8" s="54"/>
      <c r="F8" s="62" t="s">
        <v>65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66</v>
      </c>
      <c r="C9" s="63">
        <f>D9</f>
      </c>
      <c r="D9" s="64">
        <f>AVERAGE(H10:M10)</f>
      </c>
      <c r="E9" s="54"/>
      <c r="F9" s="62" t="s">
        <v>67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68</v>
      </c>
      <c r="C10" s="64">
        <f>C9*(1+(1-C17)*C8)</f>
      </c>
      <c r="D10" s="64">
        <f>AVERAGE(H9:M9)</f>
      </c>
      <c r="E10" s="54"/>
      <c r="F10" s="62" t="s">
        <v>66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69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70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71</v>
      </c>
      <c r="C13" s="6" t="s">
        <v>72</v>
      </c>
      <c r="D13" s="54"/>
      <c r="E13" s="53"/>
      <c r="F13" s="1" t="s">
        <v>46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73</v>
      </c>
      <c r="C14" s="60">
        <f>'Exhibit 9'!M25/100</f>
      </c>
      <c r="D14" s="60">
        <f t="array" ref="D14">AVERAGE('Exhibit 9'!M8:M26/100)</f>
      </c>
      <c r="E14" s="53"/>
      <c r="F14" s="1" t="s">
        <v>30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74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75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76</v>
      </c>
      <c r="C17" s="70">
        <v>0.25</v>
      </c>
      <c r="D17" s="54"/>
      <c r="E17" s="53"/>
      <c r="F17" s="1" t="s">
        <v>77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78</v>
      </c>
      <c r="C18" s="70">
        <v>0.05</v>
      </c>
      <c r="D18" s="54"/>
      <c r="E18" s="58"/>
      <c r="F18" s="1" t="s">
        <v>79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80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81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25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13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15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84</v>
      </c>
      <c r="P4" s="11"/>
      <c r="Q4" s="11"/>
    </row>
    <row r="6" spans="1:17" x14ac:dyDescent="0.25">
      <c r="A6" s="1"/>
      <c r="B6" s="74" t="s">
        <v>85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85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86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86</v>
      </c>
      <c r="P8" s="1"/>
      <c r="Q8" s="1"/>
      <c r="R8" s="79"/>
      <c r="S8" s="78"/>
      <c r="T8" s="78"/>
    </row>
    <row r="9" spans="1:20" x14ac:dyDescent="0.25">
      <c r="A9" s="1"/>
      <c r="B9" s="37" t="s">
        <v>87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88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89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89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90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91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92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92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93</v>
      </c>
      <c r="P14" s="1"/>
      <c r="Q14" s="84"/>
      <c r="R14" s="77"/>
      <c r="S14" s="78"/>
      <c r="T14" s="78"/>
    </row>
    <row r="15" spans="1:20" x14ac:dyDescent="0.25">
      <c r="A15" s="1"/>
      <c r="B15" s="37" t="s">
        <v>94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94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95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95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96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96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97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97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98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98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99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99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100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100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101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101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102</v>
      </c>
      <c r="P28" s="1"/>
      <c r="Q28" s="1"/>
      <c r="R28" s="91"/>
      <c r="S28" s="91"/>
      <c r="T28" s="91"/>
    </row>
    <row r="29" spans="1:20" x14ac:dyDescent="0.25">
      <c r="A29" s="1"/>
      <c r="B29" s="37" t="s">
        <v>103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104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105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106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107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108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108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109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109</v>
      </c>
      <c r="P34" s="1"/>
      <c r="Q34" s="94"/>
      <c r="R34" s="91"/>
      <c r="S34" s="91"/>
      <c r="T34" s="91"/>
    </row>
    <row r="35" spans="1:20" x14ac:dyDescent="0.25">
      <c r="A35" s="1"/>
      <c r="B35" s="1" t="s">
        <v>23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23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25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25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27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27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110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110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24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24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103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104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111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111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105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106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111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111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112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113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111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111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113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114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111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115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43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114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116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115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43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117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116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118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117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118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119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85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86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87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94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90</v>
      </c>
      <c r="C69" s="1"/>
      <c r="D69" s="106">
        <f>+'Exhibit 8b'!$B$14</f>
      </c>
    </row>
    <row r="70" spans="1:4" x14ac:dyDescent="0.25">
      <c r="A70" s="1"/>
      <c r="B70" s="82" t="s">
        <v>92</v>
      </c>
      <c r="C70" s="82"/>
      <c r="D70" s="83">
        <f>+D67*D68*D69</f>
      </c>
    </row>
    <row r="72" spans="1:2" x14ac:dyDescent="0.25">
      <c r="A72" s="1"/>
      <c r="B72" s="2" t="s">
        <v>93</v>
      </c>
    </row>
    <row r="73" spans="1:4" x14ac:dyDescent="0.25">
      <c r="A73" s="1"/>
      <c r="B73" s="37" t="s">
        <v>94</v>
      </c>
      <c r="C73" s="1"/>
      <c r="D73" s="105">
        <f>'Exhibit 6'!$D$33</f>
      </c>
    </row>
    <row r="74" spans="1:4" x14ac:dyDescent="0.25">
      <c r="A74" s="1"/>
      <c r="B74" s="37" t="s">
        <v>95</v>
      </c>
      <c r="C74" s="1"/>
      <c r="D74" s="85">
        <v>38</v>
      </c>
    </row>
    <row r="75" spans="1:4" x14ac:dyDescent="0.25">
      <c r="A75" s="1"/>
      <c r="B75" s="82" t="s">
        <v>96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97</v>
      </c>
      <c r="C77" s="88"/>
      <c r="D77" s="89">
        <f>+D75+D70</f>
      </c>
    </row>
    <row r="79" spans="1:4" x14ac:dyDescent="0.25">
      <c r="A79" s="1"/>
      <c r="B79" s="1" t="s">
        <v>98</v>
      </c>
      <c r="C79" s="1"/>
      <c r="D79" s="90">
        <f>'Exhibit 8b'!$C$14</f>
      </c>
    </row>
    <row r="80" spans="1:4" x14ac:dyDescent="0.25">
      <c r="A80" s="1"/>
      <c r="B80" s="1" t="s">
        <v>99</v>
      </c>
      <c r="C80" s="1"/>
      <c r="D80" s="32">
        <f>D79*D68</f>
      </c>
    </row>
    <row r="82" spans="1:4" x14ac:dyDescent="0.25">
      <c r="A82" s="1"/>
      <c r="B82" s="88" t="s">
        <v>100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120</v>
      </c>
      <c r="C2" s="1"/>
      <c r="D2" s="1"/>
      <c r="E2" s="1"/>
      <c r="F2" s="1"/>
      <c r="G2" s="2"/>
    </row>
    <row r="4" spans="1:10" x14ac:dyDescent="0.25">
      <c r="A4" s="1"/>
      <c r="B4" s="10" t="s">
        <v>121</v>
      </c>
      <c r="C4" s="10"/>
      <c r="D4" s="107"/>
      <c r="E4" s="10"/>
      <c r="F4" s="1"/>
      <c r="G4" s="10" t="s">
        <v>122</v>
      </c>
      <c r="H4" s="10"/>
      <c r="I4" s="10"/>
      <c r="J4" s="10"/>
    </row>
    <row r="6" spans="1:10" x14ac:dyDescent="0.25">
      <c r="A6" s="1"/>
      <c r="B6" s="74" t="s">
        <v>123</v>
      </c>
      <c r="C6" s="74"/>
      <c r="D6" s="74"/>
      <c r="E6" s="74"/>
      <c r="F6" s="1"/>
      <c r="G6" s="74" t="s">
        <v>124</v>
      </c>
      <c r="H6" s="74"/>
      <c r="I6" s="74"/>
      <c r="J6" s="74"/>
    </row>
    <row r="7" spans="1:10" x14ac:dyDescent="0.25">
      <c r="A7" s="1"/>
      <c r="B7" s="45" t="s">
        <v>24</v>
      </c>
      <c r="C7" s="1"/>
      <c r="D7" s="1"/>
      <c r="E7" s="2"/>
      <c r="F7" s="1"/>
      <c r="G7" s="45" t="s">
        <v>24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125</v>
      </c>
      <c r="C9" s="80">
        <v>0.2934</v>
      </c>
      <c r="D9" s="110"/>
      <c r="E9" s="110"/>
      <c r="F9" s="109"/>
      <c r="G9" s="109" t="s">
        <v>126</v>
      </c>
      <c r="H9" s="80">
        <v>0.3869</v>
      </c>
    </row>
    <row r="10" spans="1:8" s="109" customFormat="1" x14ac:dyDescent="0.25">
      <c r="A10" s="109"/>
      <c r="B10" s="109" t="s">
        <v>127</v>
      </c>
      <c r="C10" s="85">
        <v>59</v>
      </c>
      <c r="D10" s="110"/>
      <c r="E10" s="110"/>
      <c r="F10" s="109"/>
      <c r="G10" s="109" t="s">
        <v>127</v>
      </c>
      <c r="H10" s="85">
        <v>16.25</v>
      </c>
    </row>
    <row r="11" spans="1:8" s="109" customFormat="1" x14ac:dyDescent="0.25">
      <c r="A11" s="109"/>
      <c r="B11" s="109" t="s">
        <v>128</v>
      </c>
      <c r="C11" s="105">
        <f>'Exhibit 6'!$D$33</f>
      </c>
      <c r="D11" s="110"/>
      <c r="E11" s="110"/>
      <c r="F11" s="109"/>
      <c r="G11" s="109" t="s">
        <v>129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130</v>
      </c>
      <c r="D13" s="57" t="s">
        <v>54</v>
      </c>
      <c r="E13" s="57" t="s">
        <v>131</v>
      </c>
      <c r="F13" s="1"/>
      <c r="G13" s="1"/>
      <c r="H13" s="57" t="s">
        <v>132</v>
      </c>
      <c r="I13" s="57" t="s">
        <v>54</v>
      </c>
      <c r="J13" s="57" t="s">
        <v>131</v>
      </c>
    </row>
    <row r="14" spans="1:10" x14ac:dyDescent="0.25">
      <c r="A14" s="1"/>
      <c r="B14" s="1" t="s">
        <v>133</v>
      </c>
      <c r="C14" s="90">
        <f>+'Exhibit 8b'!B14</f>
      </c>
      <c r="D14" s="90">
        <f>+'Exhibit 8b'!C14</f>
      </c>
      <c r="E14" s="111"/>
      <c r="F14" s="1"/>
      <c r="G14" s="1" t="s">
        <v>133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134</v>
      </c>
      <c r="C15" s="21">
        <f>+'Exhibit 6'!F33</f>
      </c>
      <c r="D15" s="32">
        <f>+C9*C11</f>
      </c>
      <c r="E15" s="32">
        <f>C15+D15</f>
      </c>
      <c r="F15" s="1"/>
      <c r="G15" s="1" t="s">
        <v>135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136</v>
      </c>
      <c r="C16" s="23">
        <f>+C15/$E$15</f>
      </c>
      <c r="D16" s="23">
        <f>+D15/$E$15</f>
      </c>
      <c r="E16" s="1"/>
      <c r="F16" s="1"/>
      <c r="G16" s="1" t="s">
        <v>136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137</v>
      </c>
      <c r="C18" s="32">
        <f>C15*C14</f>
      </c>
      <c r="D18" s="32">
        <f>D14*C11</f>
      </c>
      <c r="E18" s="32">
        <f>C18+D18</f>
      </c>
      <c r="F18" s="1"/>
      <c r="G18" s="1" t="s">
        <v>138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139</v>
      </c>
      <c r="C20" s="1"/>
      <c r="D20" s="32">
        <f>(D15*C14)+(C10*C11)</f>
      </c>
      <c r="E20" s="1"/>
      <c r="F20" s="1"/>
      <c r="G20" s="1" t="s">
        <v>139</v>
      </c>
      <c r="H20" s="32"/>
      <c r="I20" s="32">
        <f>(I15*H14)+(H10*H11)</f>
      </c>
      <c r="J20" s="112"/>
    </row>
    <row r="21" spans="1:10" x14ac:dyDescent="0.25">
      <c r="A21" s="1"/>
      <c r="B21" s="1" t="s">
        <v>140</v>
      </c>
      <c r="C21" s="1"/>
      <c r="D21" s="32">
        <f>D20-D18</f>
      </c>
      <c r="E21" s="32">
        <f>C21+D21</f>
      </c>
      <c r="F21" s="1"/>
      <c r="G21" s="1" t="s">
        <v>140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141</v>
      </c>
      <c r="C23" s="1"/>
      <c r="D23" s="21">
        <f>Synergies!D60</f>
      </c>
      <c r="E23" s="32">
        <f>+D23+C23</f>
      </c>
      <c r="F23" s="1"/>
      <c r="G23" s="1" t="s">
        <v>141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142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143</v>
      </c>
      <c r="C26" s="1"/>
      <c r="D26" s="32">
        <f>+D27*D18</f>
      </c>
      <c r="E26" s="32">
        <f>+D26+C26</f>
      </c>
      <c r="F26" s="1"/>
      <c r="G26" s="1" t="s">
        <v>143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144</v>
      </c>
      <c r="C27" s="1"/>
      <c r="D27" s="96">
        <v>0.02</v>
      </c>
      <c r="E27" s="1"/>
      <c r="F27" s="1"/>
      <c r="G27" s="42" t="s">
        <v>144</v>
      </c>
      <c r="H27" s="1"/>
      <c r="I27" s="96">
        <v>0.02</v>
      </c>
    </row>
    <row r="29" spans="1:10" x14ac:dyDescent="0.25">
      <c r="A29" s="1"/>
      <c r="B29" s="1" t="s">
        <v>145</v>
      </c>
      <c r="C29" s="32">
        <f>E29*C16</f>
      </c>
      <c r="D29" s="32">
        <f>E29*D16</f>
      </c>
      <c r="E29" s="32">
        <f>+E18+E23-E25-E26</f>
      </c>
      <c r="F29" s="1"/>
      <c r="G29" s="1" t="s">
        <v>145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146</v>
      </c>
      <c r="C30" s="32"/>
      <c r="D30" s="32"/>
      <c r="E30" s="112">
        <f>E29/E15</f>
      </c>
      <c r="F30" s="1"/>
      <c r="G30" s="1" t="s">
        <v>146</v>
      </c>
      <c r="H30" s="1"/>
      <c r="I30" s="1"/>
      <c r="J30" s="112">
        <f>J29/J15</f>
      </c>
    </row>
    <row r="31" spans="1:10" x14ac:dyDescent="0.25">
      <c r="A31" s="1"/>
      <c r="B31" s="1" t="s">
        <v>147</v>
      </c>
      <c r="C31" s="32">
        <f>C29-C18</f>
      </c>
      <c r="D31" s="32">
        <f>D29+C10*C11-D18</f>
      </c>
      <c r="E31" s="32">
        <f>C31+D31</f>
      </c>
      <c r="F31" s="1"/>
      <c r="G31" s="1" t="s">
        <v>147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148</v>
      </c>
      <c r="C32" s="23">
        <f>C31/C18</f>
      </c>
      <c r="D32" s="23">
        <f>D31/D18</f>
      </c>
      <c r="E32" s="23"/>
      <c r="F32" s="1"/>
      <c r="G32" s="1" t="s">
        <v>148</v>
      </c>
      <c r="H32" s="23">
        <f>H31/H18</f>
      </c>
      <c r="I32" s="23">
        <f>I31/I18</f>
      </c>
    </row>
    <row r="34" spans="1:5" x14ac:dyDescent="0.25">
      <c r="A34" s="1"/>
      <c r="B34" s="74" t="s">
        <v>149</v>
      </c>
      <c r="C34" s="74"/>
      <c r="D34" s="74"/>
      <c r="E34" s="74"/>
    </row>
    <row r="35" spans="1:5" x14ac:dyDescent="0.25">
      <c r="A35" s="1"/>
      <c r="B35" s="45" t="s">
        <v>24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125</v>
      </c>
      <c r="C37" s="80">
        <v>0.6094</v>
      </c>
      <c r="D37" s="110"/>
      <c r="E37" s="113"/>
    </row>
    <row r="38" spans="1:5" x14ac:dyDescent="0.25">
      <c r="A38" s="1"/>
      <c r="B38" s="109" t="s">
        <v>127</v>
      </c>
      <c r="C38" s="85">
        <v>38</v>
      </c>
      <c r="D38" s="110"/>
      <c r="E38" s="110"/>
    </row>
    <row r="39" spans="1:5" x14ac:dyDescent="0.25">
      <c r="A39" s="1"/>
      <c r="B39" s="109" t="s">
        <v>128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130</v>
      </c>
      <c r="D41" s="57" t="s">
        <v>54</v>
      </c>
      <c r="E41" s="57" t="s">
        <v>131</v>
      </c>
    </row>
    <row r="42" spans="1:5" x14ac:dyDescent="0.25">
      <c r="A42" s="1"/>
      <c r="B42" s="1" t="s">
        <v>133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150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136</v>
      </c>
      <c r="C44" s="23">
        <f>+C43/$E$43</f>
      </c>
      <c r="D44" s="23">
        <f>+D43/$E$43</f>
      </c>
    </row>
    <row r="46" spans="1:5" x14ac:dyDescent="0.25">
      <c r="A46" s="1"/>
      <c r="B46" s="1" t="s">
        <v>138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139</v>
      </c>
      <c r="C48" s="1"/>
      <c r="D48" s="32">
        <f>(D43*C42)+(C38*C39)</f>
      </c>
    </row>
    <row r="49" spans="1:5" x14ac:dyDescent="0.25">
      <c r="A49" s="1"/>
      <c r="B49" s="1" t="s">
        <v>140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141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142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143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144</v>
      </c>
      <c r="C55" s="1"/>
      <c r="D55" s="96">
        <v>0.02</v>
      </c>
    </row>
    <row r="57" spans="1:5" x14ac:dyDescent="0.25">
      <c r="A57" s="1"/>
      <c r="B57" s="1" t="s">
        <v>145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146</v>
      </c>
      <c r="C58" s="32"/>
      <c r="D58" s="32"/>
      <c r="E58" s="32">
        <f>E57/E43</f>
      </c>
    </row>
    <row r="59" spans="1:5" x14ac:dyDescent="0.25">
      <c r="A59" s="1"/>
      <c r="B59" s="1" t="s">
        <v>147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148</v>
      </c>
      <c r="C60" s="23">
        <f>C59/C46</f>
      </c>
      <c r="D60" s="23">
        <f>D59/D46</f>
      </c>
    </row>
    <row r="62" spans="1:5" x14ac:dyDescent="0.25">
      <c r="A62" s="1"/>
      <c r="B62" s="74" t="s">
        <v>151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152</v>
      </c>
      <c r="C64" s="1"/>
      <c r="D64" s="110"/>
      <c r="E64" s="113"/>
    </row>
    <row r="65" spans="1:5" x14ac:dyDescent="0.25">
      <c r="A65" s="1"/>
      <c r="B65" s="117" t="s">
        <v>125</v>
      </c>
      <c r="C65" s="80">
        <v>0.2934</v>
      </c>
      <c r="D65" s="110"/>
      <c r="E65" s="110"/>
    </row>
    <row r="66" spans="1:5" x14ac:dyDescent="0.25">
      <c r="A66" s="1"/>
      <c r="B66" s="117" t="s">
        <v>127</v>
      </c>
      <c r="C66" s="118">
        <v>59</v>
      </c>
      <c r="D66" s="110"/>
      <c r="E66" s="110"/>
    </row>
    <row r="67" spans="1:3" x14ac:dyDescent="0.25">
      <c r="A67" s="1"/>
      <c r="B67" s="117" t="s">
        <v>153</v>
      </c>
      <c r="C67" s="105">
        <f>'Exhibit 6'!$D$33</f>
      </c>
    </row>
    <row r="68" spans="1:5" x14ac:dyDescent="0.25">
      <c r="A68" s="1"/>
      <c r="B68" s="117" t="s">
        <v>141</v>
      </c>
      <c r="C68" s="119">
        <v>10000</v>
      </c>
      <c r="D68" s="110"/>
      <c r="E68" s="110"/>
    </row>
    <row r="69" spans="1:3" x14ac:dyDescent="0.25">
      <c r="A69" s="1"/>
      <c r="B69" s="117" t="s">
        <v>154</v>
      </c>
      <c r="C69" s="93">
        <v>8800</v>
      </c>
    </row>
    <row r="70" spans="1:3" x14ac:dyDescent="0.25">
      <c r="A70" s="1"/>
      <c r="B70" s="117" t="s">
        <v>155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156</v>
      </c>
    </row>
    <row r="73" spans="1:2" x14ac:dyDescent="0.25">
      <c r="A73" s="1"/>
      <c r="B73" s="1" t="s">
        <v>138</v>
      </c>
    </row>
    <row r="74" spans="1:3" x14ac:dyDescent="0.25">
      <c r="A74" s="1"/>
      <c r="B74" s="37" t="s">
        <v>157</v>
      </c>
      <c r="C74" s="114">
        <f>C18</f>
      </c>
    </row>
    <row r="75" spans="1:3" x14ac:dyDescent="0.25">
      <c r="A75" s="1"/>
      <c r="B75" s="37" t="s">
        <v>158</v>
      </c>
      <c r="C75" s="114">
        <f>D18</f>
      </c>
    </row>
    <row r="76" spans="1:3" x14ac:dyDescent="0.25">
      <c r="A76" s="1"/>
      <c r="B76" s="1" t="s">
        <v>159</v>
      </c>
      <c r="C76" s="114">
        <f>D25</f>
      </c>
    </row>
    <row r="77" spans="1:3" x14ac:dyDescent="0.25">
      <c r="A77" s="1"/>
      <c r="B77" s="1" t="s">
        <v>160</v>
      </c>
      <c r="C77" s="114">
        <f>D26</f>
      </c>
    </row>
    <row r="78" spans="1:3" x14ac:dyDescent="0.25">
      <c r="A78" s="1"/>
      <c r="B78" s="2" t="s">
        <v>161</v>
      </c>
      <c r="C78" s="46">
        <f>C74+C75+C68+C69-C76-C77</f>
      </c>
    </row>
    <row r="80" spans="1:3" x14ac:dyDescent="0.25">
      <c r="A80" s="1"/>
      <c r="B80" s="1" t="s">
        <v>162</v>
      </c>
      <c r="C80" s="114">
        <f>E15</f>
      </c>
    </row>
    <row r="82" spans="1:3" x14ac:dyDescent="0.25">
      <c r="A82" s="1"/>
      <c r="B82" s="1" t="s">
        <v>163</v>
      </c>
      <c r="C82" s="112">
        <f>C78/C80</f>
      </c>
    </row>
    <row r="83" spans="1:3" x14ac:dyDescent="0.25">
      <c r="A83" s="1"/>
      <c r="B83" s="1" t="s">
        <v>164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165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166</v>
      </c>
    </row>
    <row r="3" spans="2:2" x14ac:dyDescent="0.25">
      <c r="B3" s="2"/>
    </row>
    <row r="4" spans="1:11" x14ac:dyDescent="0.25">
      <c r="A4" s="1"/>
      <c r="B4" s="10" t="s">
        <v>167</v>
      </c>
      <c r="C4" s="11"/>
      <c r="D4" s="1"/>
      <c r="E4" s="10" t="s">
        <v>168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169</v>
      </c>
      <c r="C6" s="121"/>
      <c r="D6" s="1"/>
      <c r="E6" s="74" t="s">
        <v>170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24</v>
      </c>
      <c r="C7" s="1"/>
      <c r="D7" s="1"/>
      <c r="E7" s="2" t="s">
        <v>22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171</v>
      </c>
      <c r="H8" s="18"/>
      <c r="I8" s="19"/>
      <c r="J8" s="18"/>
      <c r="K8" s="19"/>
    </row>
    <row r="9" spans="1:11" x14ac:dyDescent="0.25">
      <c r="A9" s="1"/>
      <c r="B9" s="1" t="s">
        <v>172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173</v>
      </c>
      <c r="C10" s="85">
        <v>0.1</v>
      </c>
      <c r="D10" s="1"/>
      <c r="E10" s="28" t="s">
        <v>174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175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176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177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178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171</v>
      </c>
      <c r="C15" s="125">
        <f>'Exhibit 9'!M25/100</f>
      </c>
    </row>
    <row r="16" spans="1:15" x14ac:dyDescent="0.25">
      <c r="A16" s="1"/>
      <c r="B16" s="1" t="s">
        <v>179</v>
      </c>
      <c r="C16" s="123">
        <v>1.05</v>
      </c>
      <c r="D16" s="1"/>
      <c r="E16" s="1"/>
      <c r="F16" s="1"/>
      <c r="G16" s="18" t="s">
        <v>171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180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181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182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183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184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185</v>
      </c>
      <c r="C24" s="129"/>
      <c r="D24" s="1"/>
      <c r="E24" s="1"/>
      <c r="F24" s="1"/>
      <c r="G24" s="130" t="s">
        <v>186</v>
      </c>
      <c r="H24" s="131"/>
      <c r="I24" s="130"/>
      <c r="J24" s="19"/>
      <c r="K24" s="131"/>
    </row>
    <row r="25" spans="1:11" x14ac:dyDescent="0.25">
      <c r="A25" s="1"/>
      <c r="B25" s="45" t="s">
        <v>187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188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189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190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191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192</v>
      </c>
      <c r="C31" s="134">
        <f>'Exhibit 6'!F32</f>
      </c>
    </row>
    <row r="32" spans="1:3" x14ac:dyDescent="0.25">
      <c r="A32" s="1"/>
      <c r="B32" s="135" t="s">
        <v>193</v>
      </c>
      <c r="C32" s="123">
        <v>0.044</v>
      </c>
    </row>
    <row r="33" spans="1:3" x14ac:dyDescent="0.25">
      <c r="A33" s="1"/>
      <c r="B33" s="58" t="s">
        <v>194</v>
      </c>
      <c r="C33" s="85">
        <v>62.5</v>
      </c>
    </row>
    <row r="34" spans="1:3" x14ac:dyDescent="0.25">
      <c r="A34" s="1"/>
      <c r="B34" s="58" t="s">
        <v>186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195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196</v>
      </c>
      <c r="C37" s="137">
        <f>C36-C34*SQRT(C30)</f>
      </c>
      <c r="D37" s="1"/>
      <c r="E37" s="53"/>
    </row>
    <row r="38" spans="1:5" x14ac:dyDescent="0.25">
      <c r="A38" s="1"/>
      <c r="B38" s="135" t="s">
        <v>197</v>
      </c>
      <c r="C38" s="137">
        <f>NORMSDIST(C36)</f>
      </c>
      <c r="D38" s="1"/>
      <c r="E38" s="53"/>
    </row>
    <row r="39" spans="1:5" x14ac:dyDescent="0.25">
      <c r="A39" s="1"/>
      <c r="B39" s="135" t="s">
        <v>198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199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200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201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C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>
    <row r="1" spans="1:3" x14ac:dyDescent="0.25">
      <c r="A1" s="143"/>
      <c r="B1" s="143"/>
      <c r="C1" s="1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202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203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204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205</v>
      </c>
      <c r="B9" s="155">
        <v>2527</v>
      </c>
      <c r="C9" s="155">
        <v>1900</v>
      </c>
      <c r="D9" s="153"/>
    </row>
    <row r="10" spans="1:5" x14ac:dyDescent="0.25">
      <c r="A10" s="156" t="s">
        <v>206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207</v>
      </c>
      <c r="B11" s="154"/>
      <c r="C11" s="154"/>
    </row>
    <row r="12" spans="1:3" x14ac:dyDescent="0.25">
      <c r="A12" s="144" t="s">
        <v>208</v>
      </c>
      <c r="B12" s="154">
        <v>988</v>
      </c>
      <c r="C12" s="154">
        <v>1153</v>
      </c>
    </row>
    <row r="13" spans="1:3" x14ac:dyDescent="0.25">
      <c r="A13" s="144" t="s">
        <v>209</v>
      </c>
      <c r="B13" s="154">
        <v>914</v>
      </c>
      <c r="C13" s="154">
        <v>878</v>
      </c>
    </row>
    <row r="14" spans="1:3" x14ac:dyDescent="0.25">
      <c r="A14" s="144" t="s">
        <v>210</v>
      </c>
      <c r="B14" s="154">
        <v>2535</v>
      </c>
      <c r="C14" s="154">
        <v>459</v>
      </c>
    </row>
    <row r="15" spans="1:3" x14ac:dyDescent="0.25">
      <c r="A15" s="144" t="s">
        <v>211</v>
      </c>
      <c r="B15" s="154">
        <v>1552</v>
      </c>
      <c r="C15" s="154">
        <v>1047</v>
      </c>
    </row>
    <row r="16" spans="1:3" x14ac:dyDescent="0.25">
      <c r="A16" s="144" t="s">
        <v>212</v>
      </c>
      <c r="B16" s="154">
        <v>994</v>
      </c>
      <c r="C16" s="154">
        <v>1084</v>
      </c>
    </row>
    <row r="17" spans="1:3" x14ac:dyDescent="0.25">
      <c r="A17" s="144" t="s">
        <v>213</v>
      </c>
      <c r="B17" s="154">
        <v>4279</v>
      </c>
      <c r="C17" s="154">
        <v>4254</v>
      </c>
    </row>
    <row r="18" spans="1:6" x14ac:dyDescent="0.25">
      <c r="A18" s="144" t="s">
        <v>214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215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216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217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218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219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220</v>
      </c>
      <c r="B24" s="157">
        <v>-211</v>
      </c>
      <c r="C24" s="157">
        <v>752</v>
      </c>
    </row>
    <row r="25" ht="18" customHeight="1" spans="1:3" x14ac:dyDescent="0.25">
      <c r="A25" s="144" t="s">
        <v>221</v>
      </c>
      <c r="B25" s="155">
        <v>245</v>
      </c>
      <c r="C25" s="155">
        <v>137</v>
      </c>
    </row>
    <row r="26" spans="1:3" x14ac:dyDescent="0.25">
      <c r="A26" s="156" t="s">
        <v>222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223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224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225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226</v>
      </c>
    </row>
    <row r="9" spans="1:4" x14ac:dyDescent="0.25">
      <c r="A9" s="144" t="s">
        <v>227</v>
      </c>
      <c r="B9" s="154">
        <v>4553</v>
      </c>
      <c r="C9" s="154">
        <v>1295</v>
      </c>
      <c r="D9" s="160"/>
    </row>
    <row r="10" spans="1:3" x14ac:dyDescent="0.25">
      <c r="A10" s="144" t="s">
        <v>228</v>
      </c>
      <c r="B10" s="154">
        <v>1829</v>
      </c>
      <c r="C10" s="154">
        <v>2026</v>
      </c>
    </row>
    <row r="11" spans="1:3" x14ac:dyDescent="0.25">
      <c r="A11" s="144" t="s">
        <v>229</v>
      </c>
      <c r="B11" s="154">
        <v>316</v>
      </c>
      <c r="C11" s="154">
        <v>235</v>
      </c>
    </row>
    <row r="12" ht="18" customHeight="1" spans="1:7" x14ac:dyDescent="0.25">
      <c r="A12" s="144" t="s">
        <v>230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231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232</v>
      </c>
      <c r="B14" s="154">
        <v>27451</v>
      </c>
      <c r="C14" s="154">
        <v>28615</v>
      </c>
    </row>
    <row r="15" spans="1:3" x14ac:dyDescent="0.25">
      <c r="A15" s="144" t="s">
        <v>233</v>
      </c>
      <c r="B15" s="154">
        <v>5662</v>
      </c>
      <c r="C15" s="154">
        <v>5630</v>
      </c>
    </row>
    <row r="16" ht="18" customHeight="1" spans="1:3" x14ac:dyDescent="0.25">
      <c r="A16" s="144" t="s">
        <v>234</v>
      </c>
      <c r="B16" s="155">
        <v>2211</v>
      </c>
      <c r="C16" s="155">
        <v>2336</v>
      </c>
    </row>
    <row r="17" spans="1:3" x14ac:dyDescent="0.25">
      <c r="A17" s="156" t="s">
        <v>235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236</v>
      </c>
      <c r="B19" s="154"/>
      <c r="C19" s="154"/>
    </row>
    <row r="20" spans="1:3" x14ac:dyDescent="0.25">
      <c r="A20" s="144" t="s">
        <v>237</v>
      </c>
      <c r="B20" s="154">
        <v>2160</v>
      </c>
      <c r="C20" s="154">
        <v>2164</v>
      </c>
    </row>
    <row r="21" spans="1:3" x14ac:dyDescent="0.25">
      <c r="A21" s="144" t="s">
        <v>238</v>
      </c>
      <c r="B21" s="154">
        <v>142</v>
      </c>
      <c r="C21" s="154">
        <v>947</v>
      </c>
    </row>
    <row r="22" ht="18" customHeight="1" spans="1:3" x14ac:dyDescent="0.25">
      <c r="A22" s="144" t="s">
        <v>239</v>
      </c>
      <c r="B22" s="155">
        <v>1604</v>
      </c>
      <c r="C22" s="155">
        <v>1547</v>
      </c>
    </row>
    <row r="23" spans="1:3" x14ac:dyDescent="0.25">
      <c r="A23" s="156" t="s">
        <v>240</v>
      </c>
      <c r="B23" s="157">
        <v>3906</v>
      </c>
      <c r="C23" s="157">
        <v>4658</v>
      </c>
    </row>
    <row r="24" spans="1:5" x14ac:dyDescent="0.25">
      <c r="A24" s="144" t="s">
        <v>241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242</v>
      </c>
      <c r="B25" s="154">
        <v>8843</v>
      </c>
      <c r="C25" s="154">
        <v>9305</v>
      </c>
    </row>
    <row r="26" spans="1:3" x14ac:dyDescent="0.25">
      <c r="A26" s="144" t="s">
        <v>243</v>
      </c>
      <c r="B26" s="154"/>
      <c r="C26" s="154"/>
    </row>
    <row r="27" spans="1:3" x14ac:dyDescent="0.25">
      <c r="A27" s="144" t="s">
        <v>244</v>
      </c>
      <c r="B27" s="154">
        <v>3094</v>
      </c>
      <c r="C27" s="154">
        <v>2447</v>
      </c>
    </row>
    <row r="28" ht="18" customHeight="1" spans="1:3" x14ac:dyDescent="0.25">
      <c r="A28" s="144" t="s">
        <v>245</v>
      </c>
      <c r="B28" s="155">
        <v>10696</v>
      </c>
      <c r="C28" s="155">
        <v>8496</v>
      </c>
    </row>
    <row r="29" spans="1:3" x14ac:dyDescent="0.25">
      <c r="A29" s="156" t="s">
        <v>246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223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247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248</v>
      </c>
      <c r="D4" s="149"/>
    </row>
    <row r="5" ht="15.75" customHeight="1" spans="1:6" s="145" customFormat="1" x14ac:dyDescent="0.25">
      <c r="A5" s="156" t="s">
        <v>249</v>
      </c>
      <c r="B5" s="156" t="s">
        <v>250</v>
      </c>
      <c r="C5" s="162" t="s">
        <v>57</v>
      </c>
      <c r="D5" s="162" t="s">
        <v>132</v>
      </c>
      <c r="E5" s="156"/>
      <c r="F5" s="163" t="s">
        <v>251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252</v>
      </c>
      <c r="C8" s="168">
        <v>61.22</v>
      </c>
      <c r="D8" s="168"/>
      <c r="E8" s="144"/>
      <c r="F8" s="165" t="s">
        <v>253</v>
      </c>
    </row>
    <row r="9" spans="1:6" s="145" customFormat="1" x14ac:dyDescent="0.25">
      <c r="A9" s="166">
        <v>43119</v>
      </c>
      <c r="B9" s="167" t="s">
        <v>252</v>
      </c>
      <c r="C9" s="168">
        <v>76</v>
      </c>
      <c r="D9" s="168"/>
      <c r="E9" s="144"/>
      <c r="F9" s="165" t="s">
        <v>254</v>
      </c>
    </row>
    <row r="10" spans="1:6" s="145" customFormat="1" x14ac:dyDescent="0.25">
      <c r="A10" s="166">
        <v>43502</v>
      </c>
      <c r="B10" s="167" t="s">
        <v>252</v>
      </c>
      <c r="C10" s="168"/>
      <c r="D10" s="168">
        <v>64</v>
      </c>
      <c r="E10" s="144"/>
      <c r="F10" s="165" t="s">
        <v>255</v>
      </c>
    </row>
    <row r="11" spans="1:6" s="145" customFormat="1" x14ac:dyDescent="0.25">
      <c r="A11" s="166">
        <v>43544</v>
      </c>
      <c r="B11" s="167" t="s">
        <v>252</v>
      </c>
      <c r="C11" s="168"/>
      <c r="D11" s="168">
        <v>65</v>
      </c>
      <c r="E11" s="144"/>
      <c r="F11" s="165" t="s">
        <v>255</v>
      </c>
    </row>
    <row r="12" spans="1:6" s="145" customFormat="1" x14ac:dyDescent="0.25">
      <c r="A12" s="166">
        <v>43547</v>
      </c>
      <c r="B12" s="167" t="s">
        <v>252</v>
      </c>
      <c r="C12" s="168">
        <v>76</v>
      </c>
      <c r="D12" s="168"/>
      <c r="E12" s="144"/>
      <c r="F12" s="165" t="s">
        <v>256</v>
      </c>
    </row>
    <row r="13" spans="1:6" x14ac:dyDescent="0.25">
      <c r="A13" s="166">
        <v>43563</v>
      </c>
      <c r="B13" s="167" t="s">
        <v>252</v>
      </c>
      <c r="C13" s="168">
        <v>72</v>
      </c>
      <c r="D13" s="168"/>
      <c r="E13" s="144"/>
      <c r="F13" s="165" t="s">
        <v>257</v>
      </c>
    </row>
    <row r="14" spans="1:12" s="156" customFormat="1" x14ac:dyDescent="0.25">
      <c r="A14" s="169">
        <v>43566</v>
      </c>
      <c r="B14" s="170" t="s">
        <v>258</v>
      </c>
      <c r="C14" s="171"/>
      <c r="D14" s="171">
        <v>65</v>
      </c>
      <c r="E14" s="156"/>
      <c r="F14" s="163" t="s">
        <v>259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260</v>
      </c>
      <c r="C15" s="168">
        <v>76</v>
      </c>
      <c r="D15" s="168"/>
      <c r="E15" s="144"/>
      <c r="F15" s="165" t="s">
        <v>261</v>
      </c>
    </row>
    <row r="16" spans="1:12" s="156" customFormat="1" x14ac:dyDescent="0.25">
      <c r="A16" s="169">
        <v>43590</v>
      </c>
      <c r="B16" s="170" t="s">
        <v>262</v>
      </c>
      <c r="C16" s="171">
        <v>76</v>
      </c>
      <c r="D16" s="171"/>
      <c r="E16" s="156"/>
      <c r="F16" s="163" t="s">
        <v>263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264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265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266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267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268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269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270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272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273</v>
      </c>
      <c r="C4" s="162" t="s">
        <v>274</v>
      </c>
    </row>
    <row r="5" ht="18" customHeight="1" spans="1:3" x14ac:dyDescent="0.25">
      <c r="A5" s="156"/>
      <c r="B5" s="177" t="s">
        <v>275</v>
      </c>
      <c r="C5" s="177" t="s">
        <v>276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277</v>
      </c>
      <c r="B8" s="180">
        <v>0.0241</v>
      </c>
      <c r="C8" s="180">
        <v>0.0219</v>
      </c>
    </row>
    <row r="9" spans="1:3" x14ac:dyDescent="0.25">
      <c r="A9" s="179" t="s">
        <v>278</v>
      </c>
      <c r="B9" s="180">
        <v>0.0233</v>
      </c>
      <c r="C9" s="180">
        <v>0.0176</v>
      </c>
    </row>
    <row r="10" spans="1:3" x14ac:dyDescent="0.25">
      <c r="A10" s="179" t="s">
        <v>279</v>
      </c>
      <c r="B10" s="180">
        <v>0.0254</v>
      </c>
      <c r="C10" s="180">
        <v>0.018</v>
      </c>
    </row>
    <row r="11" spans="1:3" x14ac:dyDescent="0.25">
      <c r="A11" s="179" t="s">
        <v>280</v>
      </c>
      <c r="B11" s="180">
        <v>0.0275</v>
      </c>
      <c r="C11" s="180">
        <v>0.0198</v>
      </c>
    </row>
    <row r="12" spans="1:3" x14ac:dyDescent="0.25">
      <c r="A12" s="179" t="s">
        <v>281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282</v>
      </c>
    </row>
    <row r="16" spans="1:1" x14ac:dyDescent="0.25">
      <c r="A16" t="s">
        <v>283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284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285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54</v>
      </c>
      <c r="E5" s="188" t="s">
        <v>56</v>
      </c>
      <c r="F5" s="188" t="s">
        <v>57</v>
      </c>
      <c r="G5" s="188" t="s">
        <v>286</v>
      </c>
      <c r="H5" s="188" t="s">
        <v>59</v>
      </c>
      <c r="I5" s="188" t="s">
        <v>60</v>
      </c>
      <c r="J5" s="188" t="s">
        <v>61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287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288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289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290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291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292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293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294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295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296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297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298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299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300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301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302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303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304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226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63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305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306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307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308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309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310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311</v>
      </c>
      <c r="C37" s="183"/>
      <c r="D37" s="202" t="s">
        <v>72</v>
      </c>
      <c r="E37" s="202" t="s">
        <v>312</v>
      </c>
      <c r="F37" s="203" t="s">
        <v>313</v>
      </c>
      <c r="G37" s="202" t="s">
        <v>313</v>
      </c>
      <c r="H37" s="202" t="s">
        <v>314</v>
      </c>
      <c r="I37" s="202" t="s">
        <v>314</v>
      </c>
      <c r="J37" s="202" t="s">
        <v>72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315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316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317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318</v>
      </c>
    </row>
    <row r="45" spans="1:10" x14ac:dyDescent="0.25">
      <c r="A45" s="181" t="s">
        <v>319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320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321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322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323</v>
      </c>
    </row>
    <row r="5" ht="14.25" customHeight="1" spans="1:4" x14ac:dyDescent="0.25">
      <c r="A5" s="189" t="s">
        <v>249</v>
      </c>
      <c r="B5" s="189" t="s">
        <v>324</v>
      </c>
      <c r="C5" s="189" t="s">
        <v>325</v>
      </c>
      <c r="D5" s="206" t="s">
        <v>326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327</v>
      </c>
      <c r="C8" s="183" t="s">
        <v>328</v>
      </c>
      <c r="D8" s="209">
        <v>5</v>
      </c>
    </row>
    <row r="9" spans="1:4" x14ac:dyDescent="0.25">
      <c r="A9" s="208">
        <v>43326</v>
      </c>
      <c r="B9" s="183" t="s">
        <v>329</v>
      </c>
      <c r="C9" s="183" t="s">
        <v>330</v>
      </c>
      <c r="D9" s="209">
        <v>8.9</v>
      </c>
    </row>
    <row r="10" spans="1:4" x14ac:dyDescent="0.25">
      <c r="A10" s="208">
        <v>43187</v>
      </c>
      <c r="B10" s="183" t="s">
        <v>331</v>
      </c>
      <c r="C10" s="183" t="s">
        <v>332</v>
      </c>
      <c r="D10" s="209">
        <v>10</v>
      </c>
    </row>
    <row r="11" spans="1:4" x14ac:dyDescent="0.25">
      <c r="A11" s="208">
        <v>42905</v>
      </c>
      <c r="B11" s="183" t="s">
        <v>333</v>
      </c>
      <c r="C11" s="183" t="s">
        <v>334</v>
      </c>
      <c r="D11" s="209">
        <v>7.9</v>
      </c>
    </row>
    <row r="12" spans="1:4" x14ac:dyDescent="0.25">
      <c r="A12" s="208">
        <v>42102</v>
      </c>
      <c r="B12" s="183" t="s">
        <v>335</v>
      </c>
      <c r="C12" s="183" t="s">
        <v>336</v>
      </c>
      <c r="D12" s="209">
        <v>13</v>
      </c>
    </row>
    <row r="13" spans="1:4" x14ac:dyDescent="0.25">
      <c r="A13" s="208">
        <v>41988</v>
      </c>
      <c r="B13" s="183" t="s">
        <v>337</v>
      </c>
      <c r="C13" s="183" t="s">
        <v>338</v>
      </c>
      <c r="D13" s="209">
        <v>4.7</v>
      </c>
    </row>
    <row r="14" spans="1:4" x14ac:dyDescent="0.25">
      <c r="A14" s="208">
        <v>41911</v>
      </c>
      <c r="B14" s="183" t="s">
        <v>339</v>
      </c>
      <c r="C14" s="183" t="s">
        <v>340</v>
      </c>
      <c r="D14" s="209">
        <v>15.6</v>
      </c>
    </row>
    <row r="15" spans="1:4" x14ac:dyDescent="0.25">
      <c r="A15" s="208">
        <v>41248</v>
      </c>
      <c r="B15" s="183" t="s">
        <v>341</v>
      </c>
      <c r="C15" s="183" t="s">
        <v>342</v>
      </c>
      <c r="D15" s="209">
        <v>6.7</v>
      </c>
    </row>
    <row r="16" spans="1:4" x14ac:dyDescent="0.25">
      <c r="A16" s="208">
        <v>41113</v>
      </c>
      <c r="B16" s="183" t="s">
        <v>343</v>
      </c>
      <c r="C16" s="183" t="s">
        <v>344</v>
      </c>
      <c r="D16" s="209">
        <v>4.3</v>
      </c>
    </row>
    <row r="17" spans="1:4" x14ac:dyDescent="0.25">
      <c r="A17" s="208">
        <v>40738</v>
      </c>
      <c r="B17" s="183" t="s">
        <v>345</v>
      </c>
      <c r="C17" s="183" t="s">
        <v>346</v>
      </c>
      <c r="D17" s="209">
        <v>10.5</v>
      </c>
    </row>
    <row r="18" spans="1:4" x14ac:dyDescent="0.25">
      <c r="A18" s="208">
        <v>40161</v>
      </c>
      <c r="B18" s="183" t="s">
        <v>347</v>
      </c>
      <c r="C18" s="183" t="s">
        <v>348</v>
      </c>
      <c r="D18" s="209">
        <v>6</v>
      </c>
    </row>
    <row r="19" spans="1:4" x14ac:dyDescent="0.25">
      <c r="A19" s="208">
        <v>39988</v>
      </c>
      <c r="B19" s="183" t="s">
        <v>349</v>
      </c>
      <c r="C19" s="183" t="s">
        <v>350</v>
      </c>
      <c r="D19" s="209">
        <v>5.5</v>
      </c>
    </row>
    <row r="20" spans="1:4" x14ac:dyDescent="0.25">
      <c r="A20" s="208">
        <v>39895</v>
      </c>
      <c r="B20" s="183" t="s">
        <v>351</v>
      </c>
      <c r="C20" s="183" t="s">
        <v>352</v>
      </c>
      <c r="D20" s="209">
        <v>4.2</v>
      </c>
    </row>
    <row r="21" spans="1:4" x14ac:dyDescent="0.25">
      <c r="A21" s="208">
        <v>39386</v>
      </c>
      <c r="B21" s="183" t="s">
        <v>353</v>
      </c>
      <c r="C21" s="183" t="s">
        <v>354</v>
      </c>
      <c r="D21" s="209">
        <v>6.7</v>
      </c>
    </row>
    <row r="22" spans="1:4" x14ac:dyDescent="0.25">
      <c r="A22" s="208">
        <v>38891</v>
      </c>
      <c r="B22" s="183" t="s">
        <v>355</v>
      </c>
      <c r="C22" s="183" t="s">
        <v>356</v>
      </c>
      <c r="D22" s="209">
        <v>10.2</v>
      </c>
    </row>
    <row r="23" spans="1:4" x14ac:dyDescent="0.25">
      <c r="A23" s="208">
        <v>38891</v>
      </c>
      <c r="B23" s="183" t="s">
        <v>357</v>
      </c>
      <c r="C23" s="183" t="s">
        <v>356</v>
      </c>
      <c r="D23" s="209">
        <v>7.1</v>
      </c>
    </row>
    <row r="24" spans="1:4" x14ac:dyDescent="0.25">
      <c r="A24" s="208">
        <v>38698</v>
      </c>
      <c r="B24" s="183" t="s">
        <v>358</v>
      </c>
      <c r="C24" s="183" t="s">
        <v>359</v>
      </c>
      <c r="D24" s="209">
        <v>6.4</v>
      </c>
    </row>
    <row r="25" spans="1:4" x14ac:dyDescent="0.25">
      <c r="A25" s="208">
        <v>38446</v>
      </c>
      <c r="B25" s="183" t="s">
        <v>360</v>
      </c>
      <c r="C25" s="183" t="s">
        <v>361</v>
      </c>
      <c r="D25" s="209">
        <v>5.2</v>
      </c>
    </row>
    <row r="26" spans="1:4" x14ac:dyDescent="0.25">
      <c r="A26" s="208">
        <v>37348</v>
      </c>
      <c r="B26" s="183" t="s">
        <v>362</v>
      </c>
      <c r="C26" s="183" t="s">
        <v>363</v>
      </c>
      <c r="D26" s="209">
        <v>5.2</v>
      </c>
    </row>
    <row r="27" spans="1:4" x14ac:dyDescent="0.25">
      <c r="A27" s="208">
        <v>37283</v>
      </c>
      <c r="B27" s="183" t="s">
        <v>364</v>
      </c>
      <c r="C27" s="183" t="s">
        <v>365</v>
      </c>
      <c r="D27" s="209">
        <v>4.6</v>
      </c>
    </row>
    <row r="28" spans="1:4" x14ac:dyDescent="0.25">
      <c r="A28" s="208">
        <v>37213</v>
      </c>
      <c r="B28" s="183" t="s">
        <v>366</v>
      </c>
      <c r="C28" s="183" t="s">
        <v>367</v>
      </c>
      <c r="D28" s="209">
        <v>4.1</v>
      </c>
    </row>
    <row r="29" spans="1:4" x14ac:dyDescent="0.25">
      <c r="A29" s="208">
        <v>37040</v>
      </c>
      <c r="B29" s="183" t="s">
        <v>368</v>
      </c>
      <c r="C29" s="183" t="s">
        <v>366</v>
      </c>
      <c r="D29" s="209">
        <v>4.7</v>
      </c>
    </row>
    <row r="30" spans="1:4" x14ac:dyDescent="0.25">
      <c r="A30" s="208">
        <v>36619</v>
      </c>
      <c r="B30" s="183" t="s">
        <v>369</v>
      </c>
      <c r="C30" s="183" t="s">
        <v>356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370</v>
      </c>
      <c r="B32" s="189"/>
      <c r="C32" s="189"/>
      <c r="D32" s="211">
        <v>7.017391304347824</v>
      </c>
    </row>
    <row r="33" spans="1:4" x14ac:dyDescent="0.25">
      <c r="A33" s="210" t="s">
        <v>371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372</v>
      </c>
    </row>
    <row r="37" ht="10" customHeight="1" spans="1:1" x14ac:dyDescent="0.25">
      <c r="A37" s="144"/>
    </row>
    <row r="38" spans="1:4" x14ac:dyDescent="0.25">
      <c r="A38" s="181" t="s">
        <v>373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374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57</v>
      </c>
      <c r="C4" s="213" t="s">
        <v>54</v>
      </c>
      <c r="D4" s="213" t="s">
        <v>132</v>
      </c>
      <c r="E4" s="213" t="s">
        <v>375</v>
      </c>
      <c r="F4" s="213"/>
      <c r="G4" s="213" t="s">
        <v>376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377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378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379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380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381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382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383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384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385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386</v>
      </c>
      <c r="G4" s="185"/>
      <c r="H4" s="185"/>
      <c r="I4" s="185"/>
      <c r="J4" s="220"/>
      <c r="K4" s="189"/>
      <c r="L4" s="221" t="s">
        <v>387</v>
      </c>
      <c r="M4" s="185"/>
      <c r="N4" s="183"/>
      <c r="O4" s="181"/>
      <c r="P4" s="183"/>
    </row>
    <row r="5" ht="50.25" customHeight="1" spans="1:16" x14ac:dyDescent="0.25">
      <c r="A5" s="222" t="s">
        <v>249</v>
      </c>
      <c r="B5" s="189" t="s">
        <v>388</v>
      </c>
      <c r="C5" s="206" t="s">
        <v>389</v>
      </c>
      <c r="D5" s="206"/>
      <c r="E5" s="189"/>
      <c r="F5" s="223" t="s">
        <v>390</v>
      </c>
      <c r="G5" s="206" t="s">
        <v>391</v>
      </c>
      <c r="H5" s="189" t="s">
        <v>392</v>
      </c>
      <c r="I5" s="206" t="s">
        <v>393</v>
      </c>
      <c r="J5" s="206"/>
      <c r="K5" s="189"/>
      <c r="L5" s="224" t="s">
        <v>394</v>
      </c>
      <c r="M5" s="206" t="s">
        <v>395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396</v>
      </c>
      <c r="C8" s="190">
        <v>700</v>
      </c>
      <c r="D8" s="190"/>
      <c r="E8" s="194">
        <v>1</v>
      </c>
      <c r="F8" s="212" t="s">
        <v>314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314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397</v>
      </c>
      <c r="C9" s="190">
        <v>100</v>
      </c>
      <c r="D9" s="190"/>
      <c r="E9" s="196">
        <v>0</v>
      </c>
      <c r="F9" s="230" t="s">
        <v>398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398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396</v>
      </c>
      <c r="C10" s="190">
        <v>400</v>
      </c>
      <c r="D10" s="190"/>
      <c r="E10" s="190">
        <v>0</v>
      </c>
      <c r="F10" s="230" t="s">
        <v>399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399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397</v>
      </c>
      <c r="C11" s="190">
        <v>150</v>
      </c>
      <c r="D11" s="190"/>
      <c r="E11" s="190">
        <v>0</v>
      </c>
      <c r="F11" s="230" t="s">
        <v>398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398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396</v>
      </c>
      <c r="C12" s="190">
        <v>450</v>
      </c>
      <c r="D12" s="190"/>
      <c r="E12" s="183">
        <v>0</v>
      </c>
      <c r="F12" s="230" t="s">
        <v>399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399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400</v>
      </c>
      <c r="C13" s="190">
        <v>600</v>
      </c>
      <c r="D13" s="190"/>
      <c r="E13" s="190">
        <v>1</v>
      </c>
      <c r="F13" s="212" t="s">
        <v>72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72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401</v>
      </c>
      <c r="C14" s="190">
        <v>150</v>
      </c>
      <c r="D14" s="190"/>
      <c r="E14" s="190">
        <v>0</v>
      </c>
      <c r="F14" s="212" t="s">
        <v>398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398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402</v>
      </c>
      <c r="C15" s="190">
        <v>950</v>
      </c>
      <c r="D15" s="190"/>
      <c r="E15" s="190">
        <v>0</v>
      </c>
      <c r="F15" s="230" t="s">
        <v>399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314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403</v>
      </c>
      <c r="C16" s="190">
        <v>500</v>
      </c>
      <c r="D16" s="190"/>
      <c r="E16" s="190">
        <v>0</v>
      </c>
      <c r="F16" s="212" t="s">
        <v>398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398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402</v>
      </c>
      <c r="C17" s="190">
        <v>550</v>
      </c>
      <c r="D17" s="190"/>
      <c r="E17" s="191">
        <v>0</v>
      </c>
      <c r="F17" s="212" t="s">
        <v>399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314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404</v>
      </c>
      <c r="C18" s="190">
        <v>300</v>
      </c>
      <c r="D18" s="190"/>
      <c r="E18" s="190">
        <v>0</v>
      </c>
      <c r="F18" s="212" t="s">
        <v>399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399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405</v>
      </c>
      <c r="C19" s="190">
        <v>800</v>
      </c>
      <c r="D19" s="190"/>
      <c r="E19" s="190">
        <v>1</v>
      </c>
      <c r="F19" s="212" t="s">
        <v>314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314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406</v>
      </c>
      <c r="C20" s="190">
        <v>400</v>
      </c>
      <c r="D20" s="190"/>
      <c r="E20" s="190">
        <v>0</v>
      </c>
      <c r="F20" s="212" t="s">
        <v>398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407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408</v>
      </c>
      <c r="C21" s="190">
        <v>185</v>
      </c>
      <c r="D21" s="190"/>
      <c r="E21" s="190">
        <v>0</v>
      </c>
      <c r="F21" s="212" t="s">
        <v>409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409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401</v>
      </c>
      <c r="C22" s="190">
        <v>350</v>
      </c>
      <c r="D22" s="190"/>
      <c r="E22" s="181">
        <v>0</v>
      </c>
      <c r="F22" s="212" t="s">
        <v>407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407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410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314</v>
      </c>
      <c r="O24" s="203" t="s">
        <v>72</v>
      </c>
      <c r="P24" s="202" t="s">
        <v>409</v>
      </c>
    </row>
    <row r="25" spans="1:16" x14ac:dyDescent="0.25">
      <c r="A25" s="189" t="s">
        <v>411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412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413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414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