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<sst xmlns="http://schemas.openxmlformats.org/spreadsheetml/2006/main" count="28" uniqueCount="28">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</sst>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1" spans="1:2" x14ac:dyDescent="0.25"/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5" spans="1:1" x14ac:dyDescent="0.25"/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>
        <f>E9*(1+F10)</f>
        <v>7592.55</v>
      </c>
      <c r="G9" s="7">
        <f>F9*(1+G10)</f>
        <v>7843.10415</v>
      </c>
      <c r="H9" s="7">
        <f>SUM(D9:G9)</f>
        <v>29905.65415</v>
      </c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>
        <f>F9*F12</f>
        <v>4175.9025</v>
      </c>
      <c r="G11" s="10">
        <f>G9*G12</f>
        <v>4313.7072825</v>
      </c>
      <c r="H11" s="10">
        <f>SUM(D11:G11)</f>
        <v>15969.6097825</v>
      </c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>
        <f>H11/H9</f>
        <v>0.533999681210785</v>
      </c>
    </row>
    <row r="13" ht="13.5" customHeight="1" spans="1:8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  <c r="F13">
        <f>F9-F11</f>
        <v>3416.6475</v>
      </c>
      <c r="G13">
        <f>G9-G11</f>
        <v>3529.3968675</v>
      </c>
      <c r="H13">
        <f>SUM(D13:G13)</f>
        <v>13936.0443675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>
        <f>E15+F30</f>
        <v>4368.55833333333</v>
      </c>
      <c r="G15" s="10">
        <f>F15+G30</f>
        <v>3463.80054875</v>
      </c>
      <c r="H15" s="10">
        <f>G15</f>
        <v>3463.80054875</v>
      </c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>
        <f>(F9/90)*F18</f>
        <v>4808.615</v>
      </c>
      <c r="G17" s="10">
        <f>(G9/90)*G18</f>
        <v>5228.7361</v>
      </c>
      <c r="H17" s="10">
        <f>G17</f>
        <v>5228.7361</v>
      </c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>
        <f>(F11/90)*F21</f>
        <v>7423.82666666667</v>
      </c>
      <c r="G20" s="10">
        <f>(G11/90)*G21</f>
        <v>7908.46335125</v>
      </c>
      <c r="H20" s="10">
        <f>G20</f>
        <v>7908.46335125</v>
      </c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>
        <f>G23</f>
        <v>6849</v>
      </c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f>E25</f>
        <v>5920</v>
      </c>
      <c r="G25" s="10">
        <f>F25</f>
        <v>5920</v>
      </c>
      <c r="H25" s="10">
        <f>G25</f>
        <v>5920</v>
      </c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>
        <f>-(F17-E17)-(F20-E20)-(F23-E23)+(F25-E25)</f>
        <v>-1251.44166666667</v>
      </c>
      <c r="G30" s="15">
        <f>-(G17-F17)-(G20-F20)-(G23-F23)+(G25-F25)</f>
        <v>-904.757784583331</v>
      </c>
      <c r="H30" s="15">
        <f>SUM(D30:G30)</f>
        <v>-7766.19945125</v>
      </c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